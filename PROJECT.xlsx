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RC\Desktop\"/>
    </mc:Choice>
  </mc:AlternateContent>
  <bookViews>
    <workbookView xWindow="0" yWindow="0" windowWidth="15360" windowHeight="7755" activeTab="1"/>
  </bookViews>
  <sheets>
    <sheet name="Sheet2" sheetId="2" r:id="rId1"/>
    <sheet name="Sheet1" sheetId="1" r:id="rId2"/>
  </sheets>
  <calcPr calcId="152511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1" i="1" l="1"/>
  <c r="C20" i="1"/>
  <c r="C19" i="1"/>
  <c r="C18" i="1"/>
  <c r="K15" i="1"/>
  <c r="K14" i="1"/>
  <c r="K13" i="1"/>
  <c r="K12" i="1"/>
  <c r="K11" i="1"/>
  <c r="K10" i="1"/>
  <c r="K9" i="1"/>
  <c r="K8" i="1"/>
  <c r="K7" i="1"/>
  <c r="K6" i="1"/>
  <c r="J15" i="1"/>
  <c r="J14" i="1"/>
  <c r="J13" i="1"/>
  <c r="J12" i="1"/>
  <c r="J11" i="1"/>
  <c r="J10" i="1"/>
  <c r="J9" i="1"/>
  <c r="J8" i="1"/>
  <c r="J7" i="1"/>
  <c r="J6" i="1"/>
  <c r="I7" i="1"/>
  <c r="I8" i="1"/>
  <c r="I9" i="1"/>
  <c r="I10" i="1"/>
  <c r="I11" i="1"/>
  <c r="I12" i="1"/>
  <c r="I13" i="1"/>
  <c r="I14" i="1"/>
  <c r="I15" i="1"/>
  <c r="I6" i="1"/>
  <c r="H6" i="1"/>
  <c r="H9" i="1"/>
  <c r="H8" i="1"/>
  <c r="H10" i="1"/>
  <c r="H11" i="1"/>
  <c r="H12" i="1"/>
  <c r="H13" i="1"/>
  <c r="H14" i="1"/>
  <c r="H15" i="1"/>
  <c r="H7" i="1"/>
  <c r="F7" i="1"/>
  <c r="F8" i="1"/>
  <c r="F9" i="1"/>
  <c r="F10" i="1"/>
  <c r="F11" i="1"/>
  <c r="F12" i="1"/>
  <c r="F13" i="1"/>
  <c r="F14" i="1"/>
  <c r="F15" i="1"/>
  <c r="F6" i="1"/>
</calcChain>
</file>

<file path=xl/sharedStrings.xml><?xml version="1.0" encoding="utf-8"?>
<sst xmlns="http://schemas.openxmlformats.org/spreadsheetml/2006/main" count="44" uniqueCount="33">
  <si>
    <t>Student_Name</t>
  </si>
  <si>
    <t>English</t>
  </si>
  <si>
    <t>Chemistry</t>
  </si>
  <si>
    <t>Maths</t>
  </si>
  <si>
    <t>Ayaan</t>
  </si>
  <si>
    <t>Fatima</t>
  </si>
  <si>
    <t>Hassan</t>
  </si>
  <si>
    <t>Zara</t>
  </si>
  <si>
    <t>Omar</t>
  </si>
  <si>
    <t>Mariam</t>
  </si>
  <si>
    <t>Ibrahim</t>
  </si>
  <si>
    <t>Noor</t>
  </si>
  <si>
    <t>Yusuf</t>
  </si>
  <si>
    <t>Aisha</t>
  </si>
  <si>
    <t>ROLL.NO</t>
  </si>
  <si>
    <t>SECURED MARKS</t>
  </si>
  <si>
    <t>TOTAL MARKS</t>
  </si>
  <si>
    <t>STATUS</t>
  </si>
  <si>
    <t>PERCENTAGE</t>
  </si>
  <si>
    <t>SUMIF</t>
  </si>
  <si>
    <t>COUNTIF</t>
  </si>
  <si>
    <t>VLOOKUP(NOOR)</t>
  </si>
  <si>
    <t>MIN(ENG)</t>
  </si>
  <si>
    <t>MAX(CHEM)</t>
  </si>
  <si>
    <t>COUNTA(NAMES)</t>
  </si>
  <si>
    <t>3RD SEMESTER RESULT</t>
  </si>
  <si>
    <t>Row Labels</t>
  </si>
  <si>
    <t>Grand Total</t>
  </si>
  <si>
    <t>Sum of English</t>
  </si>
  <si>
    <t>Sum of Chemistry</t>
  </si>
  <si>
    <t>Sum of SECURED MARKS</t>
  </si>
  <si>
    <t>Sum of Maths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</si>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</sst>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charset val="1"/>
      <scheme val="minor"/>
    </font>
    <font>
      <i/>
      <sz val="36"/>
      <color theme="1"/>
      <name val="Algerian"/>
      <family val="5"/>
    </font>
    <font>
      <i/>
      <sz val="14"/>
      <color theme="1"/>
      <name val="Bahnschrift SemiBold SemiConden"/>
      <family val="2"/>
    </font>
    <font>
      <sz val="11"/>
      <color theme="1"/>
      <name val="Elephant"/>
      <family val="1"/>
    </font>
    <font>
      <b/>
      <sz val="11"/>
      <color theme="1"/>
      <name val="Bahnschrift Light"/>
      <family val="2"/>
    </font>
    <font>
      <b/>
      <sz val="11"/>
      <color theme="1"/>
      <name val="Bahnschrift SemiBold"/>
      <family val="2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/>
    <xf numFmtId="0" fontId="6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/>
    </xf>
    <xf numFmtId="1" fontId="4" fillId="5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ACADEMIC RECORD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Sheet1!$C$5</c:f>
              <c:strCache>
                <c:ptCount val="1"/>
                <c:pt idx="0">
                  <c:v>English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Sheet1!$A$6:$B$15</c:f>
              <c:multiLvlStrCache>
                <c:ptCount val="10"/>
                <c:lvl>
                  <c:pt idx="0">
                    <c:v>Ayaan</c:v>
                  </c:pt>
                  <c:pt idx="1">
                    <c:v>Fatima</c:v>
                  </c:pt>
                  <c:pt idx="2">
                    <c:v>Hassan</c:v>
                  </c:pt>
                  <c:pt idx="3">
                    <c:v>Zara</c:v>
                  </c:pt>
                  <c:pt idx="4">
                    <c:v>Omar</c:v>
                  </c:pt>
                  <c:pt idx="5">
                    <c:v>Mariam</c:v>
                  </c:pt>
                  <c:pt idx="6">
                    <c:v>Ibrahim</c:v>
                  </c:pt>
                  <c:pt idx="7">
                    <c:v>Noor</c:v>
                  </c:pt>
                  <c:pt idx="8">
                    <c:v>Yusuf</c:v>
                  </c:pt>
                  <c:pt idx="9">
                    <c:v>Aisha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</c:lvl>
              </c:multiLvlStrCache>
            </c:multiLvlStrRef>
          </c:cat>
          <c:val>
            <c:numRef>
              <c:f>Sheet1!$C$6:$C$15</c:f>
              <c:numCache>
                <c:formatCode>General</c:formatCode>
                <c:ptCount val="10"/>
                <c:pt idx="0">
                  <c:v>78</c:v>
                </c:pt>
                <c:pt idx="1">
                  <c:v>56</c:v>
                </c:pt>
                <c:pt idx="2">
                  <c:v>89</c:v>
                </c:pt>
                <c:pt idx="3">
                  <c:v>67</c:v>
                </c:pt>
                <c:pt idx="4">
                  <c:v>92</c:v>
                </c:pt>
                <c:pt idx="5">
                  <c:v>45</c:v>
                </c:pt>
                <c:pt idx="6">
                  <c:v>71</c:v>
                </c:pt>
                <c:pt idx="7">
                  <c:v>84</c:v>
                </c:pt>
                <c:pt idx="8">
                  <c:v>63</c:v>
                </c:pt>
                <c:pt idx="9">
                  <c:v>90</c:v>
                </c:pt>
              </c:numCache>
            </c:numRef>
          </c:val>
        </c:ser>
        <c:ser>
          <c:idx val="1"/>
          <c:order val="1"/>
          <c:tx>
            <c:strRef>
              <c:f>Sheet1!$D$5</c:f>
              <c:strCache>
                <c:ptCount val="1"/>
                <c:pt idx="0">
                  <c:v>Chemistry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Sheet1!$A$6:$B$15</c:f>
              <c:multiLvlStrCache>
                <c:ptCount val="10"/>
                <c:lvl>
                  <c:pt idx="0">
                    <c:v>Ayaan</c:v>
                  </c:pt>
                  <c:pt idx="1">
                    <c:v>Fatima</c:v>
                  </c:pt>
                  <c:pt idx="2">
                    <c:v>Hassan</c:v>
                  </c:pt>
                  <c:pt idx="3">
                    <c:v>Zara</c:v>
                  </c:pt>
                  <c:pt idx="4">
                    <c:v>Omar</c:v>
                  </c:pt>
                  <c:pt idx="5">
                    <c:v>Mariam</c:v>
                  </c:pt>
                  <c:pt idx="6">
                    <c:v>Ibrahim</c:v>
                  </c:pt>
                  <c:pt idx="7">
                    <c:v>Noor</c:v>
                  </c:pt>
                  <c:pt idx="8">
                    <c:v>Yusuf</c:v>
                  </c:pt>
                  <c:pt idx="9">
                    <c:v>Aisha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</c:lvl>
              </c:multiLvlStrCache>
            </c:multiLvlStrRef>
          </c:cat>
          <c:val>
            <c:numRef>
              <c:f>Sheet1!$D$6:$D$15</c:f>
              <c:numCache>
                <c:formatCode>General</c:formatCode>
                <c:ptCount val="10"/>
                <c:pt idx="0">
                  <c:v>65</c:v>
                </c:pt>
                <c:pt idx="1">
                  <c:v>72</c:v>
                </c:pt>
                <c:pt idx="2">
                  <c:v>81</c:v>
                </c:pt>
                <c:pt idx="3">
                  <c:v>59</c:v>
                </c:pt>
                <c:pt idx="4">
                  <c:v>88</c:v>
                </c:pt>
                <c:pt idx="5">
                  <c:v>53</c:v>
                </c:pt>
                <c:pt idx="6">
                  <c:v>69</c:v>
                </c:pt>
                <c:pt idx="7">
                  <c:v>76</c:v>
                </c:pt>
                <c:pt idx="8">
                  <c:v>70</c:v>
                </c:pt>
                <c:pt idx="9">
                  <c:v>85</c:v>
                </c:pt>
              </c:numCache>
            </c:numRef>
          </c:val>
        </c:ser>
        <c:ser>
          <c:idx val="2"/>
          <c:order val="2"/>
          <c:tx>
            <c:strRef>
              <c:f>Sheet1!$E$5</c:f>
              <c:strCache>
                <c:ptCount val="1"/>
                <c:pt idx="0">
                  <c:v>Maths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Sheet1!$A$6:$B$15</c:f>
              <c:multiLvlStrCache>
                <c:ptCount val="10"/>
                <c:lvl>
                  <c:pt idx="0">
                    <c:v>Ayaan</c:v>
                  </c:pt>
                  <c:pt idx="1">
                    <c:v>Fatima</c:v>
                  </c:pt>
                  <c:pt idx="2">
                    <c:v>Hassan</c:v>
                  </c:pt>
                  <c:pt idx="3">
                    <c:v>Zara</c:v>
                  </c:pt>
                  <c:pt idx="4">
                    <c:v>Omar</c:v>
                  </c:pt>
                  <c:pt idx="5">
                    <c:v>Mariam</c:v>
                  </c:pt>
                  <c:pt idx="6">
                    <c:v>Ibrahim</c:v>
                  </c:pt>
                  <c:pt idx="7">
                    <c:v>Noor</c:v>
                  </c:pt>
                  <c:pt idx="8">
                    <c:v>Yusuf</c:v>
                  </c:pt>
                  <c:pt idx="9">
                    <c:v>Aisha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</c:lvl>
              </c:multiLvlStrCache>
            </c:multiLvlStrRef>
          </c:cat>
          <c:val>
            <c:numRef>
              <c:f>Sheet1!$E$6:$E$15</c:f>
              <c:numCache>
                <c:formatCode>General</c:formatCode>
                <c:ptCount val="10"/>
                <c:pt idx="0">
                  <c:v>82</c:v>
                </c:pt>
                <c:pt idx="1">
                  <c:v>68</c:v>
                </c:pt>
                <c:pt idx="2">
                  <c:v>90</c:v>
                </c:pt>
                <c:pt idx="3">
                  <c:v>74</c:v>
                </c:pt>
                <c:pt idx="4">
                  <c:v>95</c:v>
                </c:pt>
                <c:pt idx="5">
                  <c:v>60</c:v>
                </c:pt>
                <c:pt idx="6">
                  <c:v>77</c:v>
                </c:pt>
                <c:pt idx="7">
                  <c:v>88</c:v>
                </c:pt>
                <c:pt idx="8">
                  <c:v>66</c:v>
                </c:pt>
                <c:pt idx="9">
                  <c:v>92</c:v>
                </c:pt>
              </c:numCache>
            </c:numRef>
          </c:val>
        </c:ser>
        <c:ser>
          <c:idx val="3"/>
          <c:order val="3"/>
          <c:tx>
            <c:strRef>
              <c:f>Sheet1!$F$5</c:f>
              <c:strCache>
                <c:ptCount val="1"/>
                <c:pt idx="0">
                  <c:v>SECURED MARKS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Sheet1!$A$6:$B$15</c:f>
              <c:multiLvlStrCache>
                <c:ptCount val="10"/>
                <c:lvl>
                  <c:pt idx="0">
                    <c:v>Ayaan</c:v>
                  </c:pt>
                  <c:pt idx="1">
                    <c:v>Fatima</c:v>
                  </c:pt>
                  <c:pt idx="2">
                    <c:v>Hassan</c:v>
                  </c:pt>
                  <c:pt idx="3">
                    <c:v>Zara</c:v>
                  </c:pt>
                  <c:pt idx="4">
                    <c:v>Omar</c:v>
                  </c:pt>
                  <c:pt idx="5">
                    <c:v>Mariam</c:v>
                  </c:pt>
                  <c:pt idx="6">
                    <c:v>Ibrahim</c:v>
                  </c:pt>
                  <c:pt idx="7">
                    <c:v>Noor</c:v>
                  </c:pt>
                  <c:pt idx="8">
                    <c:v>Yusuf</c:v>
                  </c:pt>
                  <c:pt idx="9">
                    <c:v>Aisha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</c:lvl>
              </c:multiLvlStrCache>
            </c:multiLvlStrRef>
          </c:cat>
          <c:val>
            <c:numRef>
              <c:f>Sheet1!$F$6:$F$15</c:f>
              <c:numCache>
                <c:formatCode>General</c:formatCode>
                <c:ptCount val="10"/>
                <c:pt idx="0">
                  <c:v>225</c:v>
                </c:pt>
                <c:pt idx="1">
                  <c:v>196</c:v>
                </c:pt>
                <c:pt idx="2">
                  <c:v>260</c:v>
                </c:pt>
                <c:pt idx="3">
                  <c:v>200</c:v>
                </c:pt>
                <c:pt idx="4">
                  <c:v>275</c:v>
                </c:pt>
                <c:pt idx="5">
                  <c:v>158</c:v>
                </c:pt>
                <c:pt idx="6">
                  <c:v>217</c:v>
                </c:pt>
                <c:pt idx="7">
                  <c:v>248</c:v>
                </c:pt>
                <c:pt idx="8">
                  <c:v>199</c:v>
                </c:pt>
                <c:pt idx="9">
                  <c:v>267</c:v>
                </c:pt>
              </c:numCache>
            </c:numRef>
          </c:val>
        </c:ser>
        <c:ser>
          <c:idx val="4"/>
          <c:order val="4"/>
          <c:tx>
            <c:strRef>
              <c:f>Sheet1!$G$5</c:f>
              <c:strCache>
                <c:ptCount val="1"/>
                <c:pt idx="0">
                  <c:v>TOTAL MARKS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Sheet1!$A$6:$B$15</c:f>
              <c:multiLvlStrCache>
                <c:ptCount val="10"/>
                <c:lvl>
                  <c:pt idx="0">
                    <c:v>Ayaan</c:v>
                  </c:pt>
                  <c:pt idx="1">
                    <c:v>Fatima</c:v>
                  </c:pt>
                  <c:pt idx="2">
                    <c:v>Hassan</c:v>
                  </c:pt>
                  <c:pt idx="3">
                    <c:v>Zara</c:v>
                  </c:pt>
                  <c:pt idx="4">
                    <c:v>Omar</c:v>
                  </c:pt>
                  <c:pt idx="5">
                    <c:v>Mariam</c:v>
                  </c:pt>
                  <c:pt idx="6">
                    <c:v>Ibrahim</c:v>
                  </c:pt>
                  <c:pt idx="7">
                    <c:v>Noor</c:v>
                  </c:pt>
                  <c:pt idx="8">
                    <c:v>Yusuf</c:v>
                  </c:pt>
                  <c:pt idx="9">
                    <c:v>Aisha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</c:lvl>
              </c:multiLvlStrCache>
            </c:multiLvlStrRef>
          </c:cat>
          <c:val>
            <c:numRef>
              <c:f>Sheet1!$G$6:$G$15</c:f>
              <c:numCache>
                <c:formatCode>General</c:formatCode>
                <c:ptCount val="10"/>
                <c:pt idx="0">
                  <c:v>300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300</c:v>
                </c:pt>
                <c:pt idx="5">
                  <c:v>300</c:v>
                </c:pt>
                <c:pt idx="6">
                  <c:v>300</c:v>
                </c:pt>
                <c:pt idx="7">
                  <c:v>300</c:v>
                </c:pt>
                <c:pt idx="8">
                  <c:v>300</c:v>
                </c:pt>
                <c:pt idx="9">
                  <c:v>300</c:v>
                </c:pt>
              </c:numCache>
            </c:numRef>
          </c:val>
        </c:ser>
        <c:ser>
          <c:idx val="5"/>
          <c:order val="5"/>
          <c:tx>
            <c:strRef>
              <c:f>Sheet1!$H$5</c:f>
              <c:strCache>
                <c:ptCount val="1"/>
                <c:pt idx="0">
                  <c:v>STATUS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Sheet1!$A$6:$B$15</c:f>
              <c:multiLvlStrCache>
                <c:ptCount val="10"/>
                <c:lvl>
                  <c:pt idx="0">
                    <c:v>Ayaan</c:v>
                  </c:pt>
                  <c:pt idx="1">
                    <c:v>Fatima</c:v>
                  </c:pt>
                  <c:pt idx="2">
                    <c:v>Hassan</c:v>
                  </c:pt>
                  <c:pt idx="3">
                    <c:v>Zara</c:v>
                  </c:pt>
                  <c:pt idx="4">
                    <c:v>Omar</c:v>
                  </c:pt>
                  <c:pt idx="5">
                    <c:v>Mariam</c:v>
                  </c:pt>
                  <c:pt idx="6">
                    <c:v>Ibrahim</c:v>
                  </c:pt>
                  <c:pt idx="7">
                    <c:v>Noor</c:v>
                  </c:pt>
                  <c:pt idx="8">
                    <c:v>Yusuf</c:v>
                  </c:pt>
                  <c:pt idx="9">
                    <c:v>Aisha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</c:lvl>
              </c:multiLvlStrCache>
            </c:multiLvlStrRef>
          </c:cat>
          <c:val>
            <c:numRef>
              <c:f>Sheet1!$H$6:$H$15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187862768"/>
        <c:axId val="-1187852432"/>
      </c:barChart>
      <c:lineChart>
        <c:grouping val="standard"/>
        <c:varyColors val="0"/>
        <c:ser>
          <c:idx val="6"/>
          <c:order val="6"/>
          <c:tx>
            <c:strRef>
              <c:f>Sheet1!$I$5</c:f>
              <c:strCache>
                <c:ptCount val="1"/>
                <c:pt idx="0">
                  <c:v>PERCENTAGE</c:v>
                </c:pt>
              </c:strCache>
            </c:strRef>
          </c:tx>
          <c:spPr>
            <a:ln w="3492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multiLvlStrRef>
              <c:f>Sheet1!$A$6:$B$15</c:f>
              <c:multiLvlStrCache>
                <c:ptCount val="10"/>
                <c:lvl>
                  <c:pt idx="0">
                    <c:v>Ayaan</c:v>
                  </c:pt>
                  <c:pt idx="1">
                    <c:v>Fatima</c:v>
                  </c:pt>
                  <c:pt idx="2">
                    <c:v>Hassan</c:v>
                  </c:pt>
                  <c:pt idx="3">
                    <c:v>Zara</c:v>
                  </c:pt>
                  <c:pt idx="4">
                    <c:v>Omar</c:v>
                  </c:pt>
                  <c:pt idx="5">
                    <c:v>Mariam</c:v>
                  </c:pt>
                  <c:pt idx="6">
                    <c:v>Ibrahim</c:v>
                  </c:pt>
                  <c:pt idx="7">
                    <c:v>Noor</c:v>
                  </c:pt>
                  <c:pt idx="8">
                    <c:v>Yusuf</c:v>
                  </c:pt>
                  <c:pt idx="9">
                    <c:v>Aisha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</c:lvl>
              </c:multiLvlStrCache>
            </c:multiLvlStrRef>
          </c:cat>
          <c:val>
            <c:numRef>
              <c:f>Sheet1!$I$6:$I$15</c:f>
              <c:numCache>
                <c:formatCode>0</c:formatCode>
                <c:ptCount val="10"/>
                <c:pt idx="0" formatCode="General">
                  <c:v>75</c:v>
                </c:pt>
                <c:pt idx="1">
                  <c:v>65.333333333333329</c:v>
                </c:pt>
                <c:pt idx="2">
                  <c:v>86.666666666666671</c:v>
                </c:pt>
                <c:pt idx="3">
                  <c:v>66.666666666666671</c:v>
                </c:pt>
                <c:pt idx="4">
                  <c:v>91.666666666666671</c:v>
                </c:pt>
                <c:pt idx="5">
                  <c:v>52.666666666666664</c:v>
                </c:pt>
                <c:pt idx="6">
                  <c:v>72.333333333333329</c:v>
                </c:pt>
                <c:pt idx="7">
                  <c:v>82.666666666666671</c:v>
                </c:pt>
                <c:pt idx="8">
                  <c:v>66.333333333333329</c:v>
                </c:pt>
                <c:pt idx="9" formatCode="General">
                  <c:v>89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187862768"/>
        <c:axId val="-1187852432"/>
      </c:lineChart>
      <c:catAx>
        <c:axId val="-1187862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STUDENTS NAME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87852432"/>
        <c:crosses val="autoZero"/>
        <c:auto val="1"/>
        <c:lblAlgn val="ctr"/>
        <c:lblOffset val="100"/>
        <c:noMultiLvlLbl val="0"/>
      </c:catAx>
      <c:valAx>
        <c:axId val="-118785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MARKS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87862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305449</xdr:colOff>
      <xdr:row>16</xdr:row>
      <xdr:rowOff>5696</xdr:rowOff>
    </xdr:from>
    <xdr:to>
      <xdr:col>10</xdr:col>
      <xdr:colOff>631658</xdr:colOff>
      <xdr:row>33</xdr:row>
      <xdr:rowOff>10027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RC" refreshedDate="46060.134534490739" createdVersion="5" refreshedVersion="5" minRefreshableVersion="3" recordCount="10">
  <cacheSource type="worksheet">
    <worksheetSource ref="A5:K15" sheet="Sheet1"/>
  </cacheSource>
  <cacheFields count="11">
    <cacheField name="ROLL.NO" numFmtId="0">
      <sharedItems containsSemiMixedTypes="0" containsString="0" containsNumber="1" containsInteger="1" minValue="1" maxValue="10"/>
    </cacheField>
    <cacheField name="Student_Name" numFmtId="0">
      <sharedItems count="10">
        <s v="Ayaan"/>
        <s v="Fatima"/>
        <s v="Hassan"/>
        <s v="Zara"/>
        <s v="Omar"/>
        <s v="Mariam"/>
        <s v="Ibrahim"/>
        <s v="Noor"/>
        <s v="Yusuf"/>
        <s v="Aisha"/>
      </sharedItems>
    </cacheField>
    <cacheField name="English" numFmtId="0">
      <sharedItems containsSemiMixedTypes="0" containsString="0" containsNumber="1" containsInteger="1" minValue="45" maxValue="92"/>
    </cacheField>
    <cacheField name="Chemistry" numFmtId="0">
      <sharedItems containsSemiMixedTypes="0" containsString="0" containsNumber="1" containsInteger="1" minValue="53" maxValue="88"/>
    </cacheField>
    <cacheField name="Maths" numFmtId="0">
      <sharedItems containsSemiMixedTypes="0" containsString="0" containsNumber="1" containsInteger="1" minValue="60" maxValue="95"/>
    </cacheField>
    <cacheField name="SECURED MARKS" numFmtId="0">
      <sharedItems containsSemiMixedTypes="0" containsString="0" containsNumber="1" containsInteger="1" minValue="158" maxValue="275"/>
    </cacheField>
    <cacheField name="TOTAL MARKS" numFmtId="0">
      <sharedItems containsSemiMixedTypes="0" containsString="0" containsNumber="1" containsInteger="1" minValue="300" maxValue="300"/>
    </cacheField>
    <cacheField name="STATUS" numFmtId="0">
      <sharedItems count="2">
        <s v="PASS"/>
        <s v="FAIL"/>
      </sharedItems>
    </cacheField>
    <cacheField name="PERCENTAGE" numFmtId="0">
      <sharedItems containsSemiMixedTypes="0" containsString="0" containsNumber="1" minValue="52.666666666666664" maxValue="91.666666666666671"/>
    </cacheField>
    <cacheField name="SUMIF" numFmtId="0">
      <sharedItems containsSemiMixedTypes="0" containsString="0" containsNumber="1" containsInteger="1" minValue="72" maxValue="275" count="10">
        <n v="160"/>
        <n v="72"/>
        <n v="179"/>
        <n v="141"/>
        <n v="275"/>
        <n v="113"/>
        <n v="148"/>
        <n v="248"/>
        <n v="136"/>
        <n v="182"/>
      </sharedItems>
    </cacheField>
    <cacheField name="COUNTIF" numFmtId="0">
      <sharedItems containsSemiMixedTypes="0" containsString="0" containsNumber="1" containsInteger="1" minValue="1" maxValue="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n v="1"/>
    <x v="0"/>
    <n v="78"/>
    <n v="65"/>
    <n v="82"/>
    <n v="225"/>
    <n v="300"/>
    <x v="0"/>
    <n v="75"/>
    <x v="0"/>
    <n v="2"/>
  </r>
  <r>
    <n v="2"/>
    <x v="1"/>
    <n v="56"/>
    <n v="72"/>
    <n v="68"/>
    <n v="196"/>
    <n v="300"/>
    <x v="1"/>
    <n v="65.333333333333329"/>
    <x v="1"/>
    <n v="3"/>
  </r>
  <r>
    <n v="3"/>
    <x v="2"/>
    <n v="89"/>
    <n v="81"/>
    <n v="90"/>
    <n v="260"/>
    <n v="300"/>
    <x v="0"/>
    <n v="86.666666666666671"/>
    <x v="2"/>
    <n v="2"/>
  </r>
  <r>
    <n v="4"/>
    <x v="3"/>
    <n v="67"/>
    <n v="59"/>
    <n v="74"/>
    <n v="200"/>
    <n v="300"/>
    <x v="0"/>
    <n v="66.666666666666671"/>
    <x v="3"/>
    <n v="2"/>
  </r>
  <r>
    <n v="5"/>
    <x v="4"/>
    <n v="92"/>
    <n v="88"/>
    <n v="95"/>
    <n v="275"/>
    <n v="300"/>
    <x v="0"/>
    <n v="91.666666666666671"/>
    <x v="4"/>
    <n v="1"/>
  </r>
  <r>
    <n v="6"/>
    <x v="5"/>
    <n v="45"/>
    <n v="53"/>
    <n v="60"/>
    <n v="158"/>
    <n v="300"/>
    <x v="1"/>
    <n v="52.666666666666664"/>
    <x v="5"/>
    <n v="3"/>
  </r>
  <r>
    <n v="7"/>
    <x v="6"/>
    <n v="71"/>
    <n v="69"/>
    <n v="77"/>
    <n v="217"/>
    <n v="300"/>
    <x v="0"/>
    <n v="72.333333333333329"/>
    <x v="6"/>
    <n v="1"/>
  </r>
  <r>
    <n v="8"/>
    <x v="7"/>
    <n v="84"/>
    <n v="76"/>
    <n v="88"/>
    <n v="248"/>
    <n v="300"/>
    <x v="1"/>
    <n v="82.666666666666671"/>
    <x v="7"/>
    <n v="2"/>
  </r>
  <r>
    <n v="9"/>
    <x v="8"/>
    <n v="63"/>
    <n v="70"/>
    <n v="66"/>
    <n v="199"/>
    <n v="300"/>
    <x v="0"/>
    <n v="66.333333333333329"/>
    <x v="8"/>
    <n v="2"/>
  </r>
  <r>
    <n v="10"/>
    <x v="9"/>
    <n v="90"/>
    <n v="85"/>
    <n v="92"/>
    <n v="267"/>
    <n v="300"/>
    <x v="1"/>
    <n v="89"/>
    <x v="9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4:E15" firstHeaderRow="0" firstDataRow="1" firstDataCol="1" rowPageCount="1" colPageCount="1"/>
  <pivotFields count="11">
    <pivotField showAll="0"/>
    <pivotField axis="axisRow" showAll="0">
      <items count="11">
        <item x="9"/>
        <item x="0"/>
        <item x="1"/>
        <item x="2"/>
        <item x="6"/>
        <item x="5"/>
        <item x="7"/>
        <item x="4"/>
        <item x="8"/>
        <item x="3"/>
        <item t="default"/>
      </items>
    </pivotField>
    <pivotField dataField="1" showAll="0"/>
    <pivotField dataField="1" showAll="0"/>
    <pivotField dataField="1" showAll="0"/>
    <pivotField dataField="1" showAll="0"/>
    <pivotField showAll="0"/>
    <pivotField axis="axisPage" showAll="0">
      <items count="3">
        <item x="1"/>
        <item x="0"/>
        <item t="default"/>
      </items>
    </pivotField>
    <pivotField showAll="0"/>
    <pivotField showAll="0">
      <items count="11">
        <item x="1"/>
        <item x="5"/>
        <item x="8"/>
        <item x="3"/>
        <item x="6"/>
        <item x="0"/>
        <item x="2"/>
        <item x="9"/>
        <item x="7"/>
        <item x="4"/>
        <item t="default"/>
      </items>
    </pivotField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7" hier="-1"/>
  </pageFields>
  <dataFields count="4">
    <dataField name="Sum of English" fld="2" baseField="0" baseItem="0"/>
    <dataField name="Sum of Chemistry" fld="3" baseField="0" baseItem="0"/>
    <dataField name="Sum of Maths" fld="4" baseField="0" baseItem="0"/>
    <dataField name="Sum of SECURED MARK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5"/>
  <sheetViews>
    <sheetView workbookViewId="0">
      <selection activeCell="A4" sqref="A4"/>
    </sheetView>
  </sheetViews>
  <sheetFormatPr defaultRowHeight="15" x14ac:dyDescent="0.25"/>
  <cols>
    <col min="1" max="1" width="13.140625" bestFit="1" customWidth="1"/>
    <col min="2" max="2" width="14" customWidth="1"/>
    <col min="3" max="3" width="16.7109375" customWidth="1"/>
    <col min="4" max="4" width="13.28515625" customWidth="1"/>
    <col min="5" max="5" width="22.85546875" customWidth="1"/>
    <col min="6" max="6" width="13.5703125" customWidth="1"/>
    <col min="7" max="11" width="4" customWidth="1"/>
    <col min="12" max="12" width="16.7109375" bestFit="1" customWidth="1"/>
    <col min="13" max="21" width="4" customWidth="1"/>
    <col min="22" max="22" width="13.28515625" bestFit="1" customWidth="1"/>
    <col min="23" max="31" width="4" customWidth="1"/>
    <col min="32" max="32" width="22.85546875" bestFit="1" customWidth="1"/>
    <col min="33" max="41" width="4" customWidth="1"/>
    <col min="42" max="42" width="19" bestFit="1" customWidth="1"/>
    <col min="43" max="43" width="21.85546875" bestFit="1" customWidth="1"/>
    <col min="44" max="44" width="18.28515625" bestFit="1" customWidth="1"/>
    <col min="45" max="45" width="27.85546875" bestFit="1" customWidth="1"/>
  </cols>
  <sheetData>
    <row r="2" spans="1:5" x14ac:dyDescent="0.25">
      <c r="A2" s="8" t="s">
        <v>17</v>
      </c>
      <c r="B2" t="s">
        <v>32</v>
      </c>
    </row>
    <row r="4" spans="1:5" x14ac:dyDescent="0.25">
      <c r="A4" s="8" t="s">
        <v>26</v>
      </c>
      <c r="B4" t="s">
        <v>28</v>
      </c>
      <c r="C4" t="s">
        <v>29</v>
      </c>
      <c r="D4" t="s">
        <v>31</v>
      </c>
      <c r="E4" t="s">
        <v>30</v>
      </c>
    </row>
    <row r="5" spans="1:5" x14ac:dyDescent="0.25">
      <c r="A5" s="9" t="s">
        <v>13</v>
      </c>
      <c r="B5" s="10">
        <v>90</v>
      </c>
      <c r="C5" s="10">
        <v>85</v>
      </c>
      <c r="D5" s="10">
        <v>92</v>
      </c>
      <c r="E5" s="10">
        <v>267</v>
      </c>
    </row>
    <row r="6" spans="1:5" x14ac:dyDescent="0.25">
      <c r="A6" s="9" t="s">
        <v>4</v>
      </c>
      <c r="B6" s="10">
        <v>78</v>
      </c>
      <c r="C6" s="10">
        <v>65</v>
      </c>
      <c r="D6" s="10">
        <v>82</v>
      </c>
      <c r="E6" s="10">
        <v>225</v>
      </c>
    </row>
    <row r="7" spans="1:5" x14ac:dyDescent="0.25">
      <c r="A7" s="9" t="s">
        <v>5</v>
      </c>
      <c r="B7" s="10">
        <v>56</v>
      </c>
      <c r="C7" s="10">
        <v>72</v>
      </c>
      <c r="D7" s="10">
        <v>68</v>
      </c>
      <c r="E7" s="10">
        <v>196</v>
      </c>
    </row>
    <row r="8" spans="1:5" x14ac:dyDescent="0.25">
      <c r="A8" s="9" t="s">
        <v>6</v>
      </c>
      <c r="B8" s="10">
        <v>89</v>
      </c>
      <c r="C8" s="10">
        <v>81</v>
      </c>
      <c r="D8" s="10">
        <v>90</v>
      </c>
      <c r="E8" s="10">
        <v>260</v>
      </c>
    </row>
    <row r="9" spans="1:5" x14ac:dyDescent="0.25">
      <c r="A9" s="9" t="s">
        <v>10</v>
      </c>
      <c r="B9" s="10">
        <v>71</v>
      </c>
      <c r="C9" s="10">
        <v>69</v>
      </c>
      <c r="D9" s="10">
        <v>77</v>
      </c>
      <c r="E9" s="10">
        <v>217</v>
      </c>
    </row>
    <row r="10" spans="1:5" x14ac:dyDescent="0.25">
      <c r="A10" s="9" t="s">
        <v>9</v>
      </c>
      <c r="B10" s="10">
        <v>45</v>
      </c>
      <c r="C10" s="10">
        <v>53</v>
      </c>
      <c r="D10" s="10">
        <v>60</v>
      </c>
      <c r="E10" s="10">
        <v>158</v>
      </c>
    </row>
    <row r="11" spans="1:5" x14ac:dyDescent="0.25">
      <c r="A11" s="9" t="s">
        <v>11</v>
      </c>
      <c r="B11" s="10">
        <v>84</v>
      </c>
      <c r="C11" s="10">
        <v>76</v>
      </c>
      <c r="D11" s="10">
        <v>88</v>
      </c>
      <c r="E11" s="10">
        <v>248</v>
      </c>
    </row>
    <row r="12" spans="1:5" x14ac:dyDescent="0.25">
      <c r="A12" s="9" t="s">
        <v>8</v>
      </c>
      <c r="B12" s="10">
        <v>92</v>
      </c>
      <c r="C12" s="10">
        <v>88</v>
      </c>
      <c r="D12" s="10">
        <v>95</v>
      </c>
      <c r="E12" s="10">
        <v>275</v>
      </c>
    </row>
    <row r="13" spans="1:5" x14ac:dyDescent="0.25">
      <c r="A13" s="9" t="s">
        <v>12</v>
      </c>
      <c r="B13" s="10">
        <v>63</v>
      </c>
      <c r="C13" s="10">
        <v>70</v>
      </c>
      <c r="D13" s="10">
        <v>66</v>
      </c>
      <c r="E13" s="10">
        <v>199</v>
      </c>
    </row>
    <row r="14" spans="1:5" x14ac:dyDescent="0.25">
      <c r="A14" s="9" t="s">
        <v>7</v>
      </c>
      <c r="B14" s="10">
        <v>67</v>
      </c>
      <c r="C14" s="10">
        <v>59</v>
      </c>
      <c r="D14" s="10">
        <v>74</v>
      </c>
      <c r="E14" s="10">
        <v>200</v>
      </c>
    </row>
    <row r="15" spans="1:5" x14ac:dyDescent="0.25">
      <c r="A15" s="9" t="s">
        <v>27</v>
      </c>
      <c r="B15" s="10">
        <v>735</v>
      </c>
      <c r="C15" s="10">
        <v>718</v>
      </c>
      <c r="D15" s="10">
        <v>792</v>
      </c>
      <c r="E15" s="10">
        <v>2245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tabSelected="1" zoomScale="95" zoomScaleNormal="95" workbookViewId="0">
      <selection activeCell="M11" sqref="M11"/>
    </sheetView>
  </sheetViews>
  <sheetFormatPr defaultRowHeight="15" x14ac:dyDescent="0.25"/>
  <cols>
    <col min="1" max="1" width="10.28515625" customWidth="1"/>
    <col min="2" max="2" width="19.5703125" customWidth="1"/>
    <col min="3" max="3" width="14.5703125" customWidth="1"/>
    <col min="4" max="4" width="12" customWidth="1"/>
    <col min="5" max="5" width="13.28515625" customWidth="1"/>
    <col min="6" max="6" width="20.140625" customWidth="1"/>
    <col min="7" max="7" width="17.28515625" customWidth="1"/>
    <col min="8" max="8" width="15.28515625" customWidth="1"/>
    <col min="9" max="9" width="17.28515625" customWidth="1"/>
    <col min="10" max="10" width="13.28515625" customWidth="1"/>
    <col min="11" max="11" width="10.7109375" customWidth="1"/>
  </cols>
  <sheetData>
    <row r="1" spans="1:11" x14ac:dyDescent="0.25">
      <c r="A1" s="14" t="s">
        <v>25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x14ac:dyDescent="0.2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</row>
    <row r="4" spans="1:11" x14ac:dyDescent="0.25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</row>
    <row r="5" spans="1:11" ht="18" x14ac:dyDescent="0.25">
      <c r="A5" s="3" t="s">
        <v>14</v>
      </c>
      <c r="B5" s="3" t="s">
        <v>0</v>
      </c>
      <c r="C5" s="3" t="s">
        <v>1</v>
      </c>
      <c r="D5" s="3" t="s">
        <v>2</v>
      </c>
      <c r="E5" s="3" t="s">
        <v>3</v>
      </c>
      <c r="F5" s="3" t="s">
        <v>15</v>
      </c>
      <c r="G5" s="3" t="s">
        <v>16</v>
      </c>
      <c r="H5" s="3" t="s">
        <v>17</v>
      </c>
      <c r="I5" s="3" t="s">
        <v>18</v>
      </c>
      <c r="J5" s="3" t="s">
        <v>19</v>
      </c>
      <c r="K5" s="3" t="s">
        <v>20</v>
      </c>
    </row>
    <row r="6" spans="1:11" ht="15.75" x14ac:dyDescent="0.25">
      <c r="A6" s="11">
        <v>1</v>
      </c>
      <c r="B6" s="11" t="s">
        <v>4</v>
      </c>
      <c r="C6" s="11">
        <v>78</v>
      </c>
      <c r="D6" s="11">
        <v>65</v>
      </c>
      <c r="E6" s="11">
        <v>82</v>
      </c>
      <c r="F6" s="11">
        <f>SUM(C6:E6)</f>
        <v>225</v>
      </c>
      <c r="G6" s="11">
        <v>300</v>
      </c>
      <c r="H6" s="4" t="str">
        <f>IF(B6&gt;200,"PASS","FAIL")</f>
        <v>PASS</v>
      </c>
      <c r="I6" s="11">
        <f>AVERAGE(C6:E6)</f>
        <v>75</v>
      </c>
      <c r="J6" s="12">
        <f>SUMIF(C6:E6,"&gt;75",C6:E6)</f>
        <v>160</v>
      </c>
      <c r="K6" s="12">
        <f>COUNTIF(C6:E6,"&gt;75")</f>
        <v>2</v>
      </c>
    </row>
    <row r="7" spans="1:11" ht="15.75" x14ac:dyDescent="0.25">
      <c r="A7" s="11">
        <v>2</v>
      </c>
      <c r="B7" s="11" t="s">
        <v>5</v>
      </c>
      <c r="C7" s="11">
        <v>56</v>
      </c>
      <c r="D7" s="11">
        <v>72</v>
      </c>
      <c r="E7" s="11">
        <v>68</v>
      </c>
      <c r="F7" s="11">
        <f t="shared" ref="F7:F15" si="0">SUM(C7:E7)</f>
        <v>196</v>
      </c>
      <c r="G7" s="11">
        <v>300</v>
      </c>
      <c r="H7" s="4" t="str">
        <f>IF(B7&lt;200,"PASS","FAIL")</f>
        <v>FAIL</v>
      </c>
      <c r="I7" s="13">
        <f t="shared" ref="I7:I15" si="1">AVERAGE(C7:E7)</f>
        <v>65.333333333333329</v>
      </c>
      <c r="J7" s="12">
        <f>SUMIF(C7:E7,"&gt;70",C7:E7)</f>
        <v>72</v>
      </c>
      <c r="K7" s="12">
        <f>COUNTIF(C7:E7,"&gt;50")</f>
        <v>3</v>
      </c>
    </row>
    <row r="8" spans="1:11" ht="15.75" x14ac:dyDescent="0.25">
      <c r="A8" s="11">
        <v>3</v>
      </c>
      <c r="B8" s="11" t="s">
        <v>6</v>
      </c>
      <c r="C8" s="11">
        <v>89</v>
      </c>
      <c r="D8" s="11">
        <v>81</v>
      </c>
      <c r="E8" s="11">
        <v>90</v>
      </c>
      <c r="F8" s="11">
        <f t="shared" si="0"/>
        <v>260</v>
      </c>
      <c r="G8" s="11">
        <v>300</v>
      </c>
      <c r="H8" s="4" t="str">
        <f t="shared" ref="H8" si="2">IF(B8&gt;200,"PASS","FAIL")</f>
        <v>PASS</v>
      </c>
      <c r="I8" s="13">
        <f t="shared" si="1"/>
        <v>86.666666666666671</v>
      </c>
      <c r="J8" s="12">
        <f>SUMIF(C8:E8,"&gt;85",C8:E8)</f>
        <v>179</v>
      </c>
      <c r="K8" s="12">
        <f>COUNTIF(C8:E8,"&gt;85")</f>
        <v>2</v>
      </c>
    </row>
    <row r="9" spans="1:11" ht="15.75" x14ac:dyDescent="0.25">
      <c r="A9" s="11">
        <v>4</v>
      </c>
      <c r="B9" s="11" t="s">
        <v>7</v>
      </c>
      <c r="C9" s="11">
        <v>67</v>
      </c>
      <c r="D9" s="11">
        <v>59</v>
      </c>
      <c r="E9" s="11">
        <v>74</v>
      </c>
      <c r="F9" s="11">
        <f t="shared" si="0"/>
        <v>200</v>
      </c>
      <c r="G9" s="11">
        <v>300</v>
      </c>
      <c r="H9" s="4" t="str">
        <f>IF(B9&gt;=200,"PASS","FAIL")</f>
        <v>PASS</v>
      </c>
      <c r="I9" s="13">
        <f t="shared" si="1"/>
        <v>66.666666666666671</v>
      </c>
      <c r="J9" s="12">
        <f>SUMIF(C9:E9,"&gt;65",C9:E9)</f>
        <v>141</v>
      </c>
      <c r="K9" s="12">
        <f>COUNTIF(C9:E9,"&gt;65")</f>
        <v>2</v>
      </c>
    </row>
    <row r="10" spans="1:11" ht="15.75" x14ac:dyDescent="0.25">
      <c r="A10" s="11">
        <v>5</v>
      </c>
      <c r="B10" s="11" t="s">
        <v>8</v>
      </c>
      <c r="C10" s="11">
        <v>92</v>
      </c>
      <c r="D10" s="11">
        <v>88</v>
      </c>
      <c r="E10" s="11">
        <v>95</v>
      </c>
      <c r="F10" s="11">
        <f t="shared" si="0"/>
        <v>275</v>
      </c>
      <c r="G10" s="11">
        <v>300</v>
      </c>
      <c r="H10" s="4" t="str">
        <f t="shared" ref="H10" si="3">IF(B10&gt;200,"PASS","FAIL")</f>
        <v>PASS</v>
      </c>
      <c r="I10" s="13">
        <f t="shared" si="1"/>
        <v>91.666666666666671</v>
      </c>
      <c r="J10" s="12">
        <f>SUMIF(C10:E10,"&gt;80",C10:E10)</f>
        <v>275</v>
      </c>
      <c r="K10" s="12">
        <f>COUNTIF(C10:E10,"&gt;93")</f>
        <v>1</v>
      </c>
    </row>
    <row r="11" spans="1:11" ht="15.75" x14ac:dyDescent="0.25">
      <c r="A11" s="11">
        <v>6</v>
      </c>
      <c r="B11" s="11" t="s">
        <v>9</v>
      </c>
      <c r="C11" s="11">
        <v>45</v>
      </c>
      <c r="D11" s="11">
        <v>53</v>
      </c>
      <c r="E11" s="11">
        <v>60</v>
      </c>
      <c r="F11" s="11">
        <f t="shared" si="0"/>
        <v>158</v>
      </c>
      <c r="G11" s="11">
        <v>300</v>
      </c>
      <c r="H11" s="4" t="str">
        <f t="shared" ref="H11" si="4">IF(B11&lt;200,"PASS","FAIL")</f>
        <v>FAIL</v>
      </c>
      <c r="I11" s="13">
        <f t="shared" si="1"/>
        <v>52.666666666666664</v>
      </c>
      <c r="J11" s="12">
        <f>SUMIF(C11:E11,"&gt;50",C11:E11)</f>
        <v>113</v>
      </c>
      <c r="K11" s="12">
        <f>COUNTIF(C11:E11,"&gt;40")</f>
        <v>3</v>
      </c>
    </row>
    <row r="12" spans="1:11" ht="15.75" x14ac:dyDescent="0.25">
      <c r="A12" s="11">
        <v>7</v>
      </c>
      <c r="B12" s="11" t="s">
        <v>10</v>
      </c>
      <c r="C12" s="11">
        <v>71</v>
      </c>
      <c r="D12" s="11">
        <v>69</v>
      </c>
      <c r="E12" s="11">
        <v>77</v>
      </c>
      <c r="F12" s="11">
        <f t="shared" si="0"/>
        <v>217</v>
      </c>
      <c r="G12" s="11">
        <v>300</v>
      </c>
      <c r="H12" s="4" t="str">
        <f t="shared" ref="H12" si="5">IF(B12&gt;200,"PASS","FAIL")</f>
        <v>PASS</v>
      </c>
      <c r="I12" s="13">
        <f t="shared" si="1"/>
        <v>72.333333333333329</v>
      </c>
      <c r="J12" s="12">
        <f>SUMIF(C12:E12,"&gt;70",C12:E12)</f>
        <v>148</v>
      </c>
      <c r="K12" s="12">
        <f>COUNTIF(C12:E12,"&gt;75")</f>
        <v>1</v>
      </c>
    </row>
    <row r="13" spans="1:11" ht="15.75" x14ac:dyDescent="0.25">
      <c r="A13" s="11">
        <v>8</v>
      </c>
      <c r="B13" s="11" t="s">
        <v>11</v>
      </c>
      <c r="C13" s="11">
        <v>84</v>
      </c>
      <c r="D13" s="11">
        <v>76</v>
      </c>
      <c r="E13" s="11">
        <v>88</v>
      </c>
      <c r="F13" s="11">
        <f t="shared" si="0"/>
        <v>248</v>
      </c>
      <c r="G13" s="11">
        <v>300</v>
      </c>
      <c r="H13" s="4" t="str">
        <f t="shared" ref="H13" si="6">IF(B13&lt;200,"PASS","FAIL")</f>
        <v>FAIL</v>
      </c>
      <c r="I13" s="13">
        <f t="shared" si="1"/>
        <v>82.666666666666671</v>
      </c>
      <c r="J13" s="12">
        <f>SUMIF(C13:E13,"&gt;75",C13:E13)</f>
        <v>248</v>
      </c>
      <c r="K13" s="12">
        <f>COUNTIF(C13:E13,"&gt;83")</f>
        <v>2</v>
      </c>
    </row>
    <row r="14" spans="1:11" ht="15.75" x14ac:dyDescent="0.25">
      <c r="A14" s="11">
        <v>9</v>
      </c>
      <c r="B14" s="11" t="s">
        <v>12</v>
      </c>
      <c r="C14" s="11">
        <v>63</v>
      </c>
      <c r="D14" s="11">
        <v>70</v>
      </c>
      <c r="E14" s="11">
        <v>66</v>
      </c>
      <c r="F14" s="11">
        <f t="shared" si="0"/>
        <v>199</v>
      </c>
      <c r="G14" s="11">
        <v>300</v>
      </c>
      <c r="H14" s="4" t="str">
        <f t="shared" ref="H14" si="7">IF(B14&gt;200,"PASS","FAIL")</f>
        <v>PASS</v>
      </c>
      <c r="I14" s="13">
        <f t="shared" si="1"/>
        <v>66.333333333333329</v>
      </c>
      <c r="J14" s="12">
        <f>SUMIF(C14:E14,"&gt;65",C14:E14)</f>
        <v>136</v>
      </c>
      <c r="K14" s="12">
        <f>COUNTIF(C14:E14,"&gt;65")</f>
        <v>2</v>
      </c>
    </row>
    <row r="15" spans="1:11" ht="15.75" x14ac:dyDescent="0.25">
      <c r="A15" s="11">
        <v>10</v>
      </c>
      <c r="B15" s="11" t="s">
        <v>13</v>
      </c>
      <c r="C15" s="11">
        <v>90</v>
      </c>
      <c r="D15" s="11">
        <v>85</v>
      </c>
      <c r="E15" s="11">
        <v>92</v>
      </c>
      <c r="F15" s="11">
        <f t="shared" si="0"/>
        <v>267</v>
      </c>
      <c r="G15" s="11">
        <v>300</v>
      </c>
      <c r="H15" s="4" t="str">
        <f t="shared" ref="H15" si="8">IF(B15&lt;200,"PASS","FAIL")</f>
        <v>FAIL</v>
      </c>
      <c r="I15" s="11">
        <f t="shared" si="1"/>
        <v>89</v>
      </c>
      <c r="J15" s="12">
        <f>SUMIF(C15:E15,"&gt;85",C15:E15)</f>
        <v>182</v>
      </c>
      <c r="K15" s="12">
        <f>COUNTIF(C15:E15,"&gt;90")</f>
        <v>1</v>
      </c>
    </row>
    <row r="16" spans="1:11" x14ac:dyDescent="0.25">
      <c r="I16" s="1"/>
    </row>
    <row r="18" spans="2:7" ht="18.75" x14ac:dyDescent="0.3">
      <c r="B18" s="5" t="s">
        <v>21</v>
      </c>
      <c r="C18" s="7">
        <f>VLOOKUP(B13,B5:G15,4,FALSE)</f>
        <v>88</v>
      </c>
    </row>
    <row r="19" spans="2:7" ht="18.75" x14ac:dyDescent="0.3">
      <c r="B19" s="5" t="s">
        <v>22</v>
      </c>
      <c r="C19" s="7">
        <f>MIN(C6:C15)</f>
        <v>45</v>
      </c>
    </row>
    <row r="20" spans="2:7" ht="18.75" x14ac:dyDescent="0.3">
      <c r="B20" s="5" t="s">
        <v>23</v>
      </c>
      <c r="C20" s="7">
        <f>MAX(D6:D15)</f>
        <v>88</v>
      </c>
    </row>
    <row r="21" spans="2:7" ht="18.75" x14ac:dyDescent="0.3">
      <c r="B21" s="5" t="s">
        <v>24</v>
      </c>
      <c r="C21" s="7">
        <f>COUNTA(B6:B15)</f>
        <v>10</v>
      </c>
      <c r="G21" s="2"/>
    </row>
    <row r="22" spans="2:7" ht="18.75" x14ac:dyDescent="0.3">
      <c r="B22" s="6"/>
      <c r="C22" s="7"/>
    </row>
  </sheetData>
  <mergeCells count="1">
    <mergeCell ref="A1:K4"/>
  </mergeCells>
  <conditionalFormatting sqref="H6:H15">
    <cfRule type="containsText" dxfId="1" priority="1" operator="containsText" text="PASS">
      <formula>NOT(ISERROR(SEARCH("PASS",H6)))</formula>
    </cfRule>
    <cfRule type="containsText" dxfId="0" priority="2" operator="containsText" text="FAIL">
      <formula>NOT(ISERROR(SEARCH("FAIL",H6)))</formula>
    </cfRule>
  </conditionalFormatting>
  <dataValidations count="1">
    <dataValidation type="whole" allowBlank="1" showInputMessage="1" showErrorMessage="1" errorTitle="STOP!" error="PLEASE ENTER NO BETWEEN 1 TO 10" promptTitle="INSTRUCTIONS" prompt="YOU TYPED WRONG NO BRO!" sqref="A6:A15">
      <formula1>0</formula1>
      <formula2>10</formula2>
    </dataValidation>
  </dataValidation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MRC</dc:creator>
  <cp:lastModifiedBy>MRC</cp:lastModifiedBy>
  <dcterms:created xsi:type="dcterms:W3CDTF">2026-02-06T21:30:39Z</dcterms:created>
  <dcterms:modified xsi:type="dcterms:W3CDTF">2026-02-06T22:19:34Z</dcterms:modified>
</cp:coreProperties>
</file>